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kula\Desktop\deepa\MapUp-Data-Assessment-F\Submission\"/>
    </mc:Choice>
  </mc:AlternateContent>
  <xr:revisionPtr revIDLastSave="0" documentId="13_ncr:1_{B9076A06-92B7-4B74-9F13-498D68B7BD41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F30" i="18"/>
  <c r="E30" i="18"/>
  <c r="D30" i="18"/>
  <c r="C30" i="18"/>
  <c r="B30" i="18"/>
  <c r="F29" i="18"/>
  <c r="E29" i="18"/>
  <c r="D29" i="18"/>
  <c r="C29" i="18"/>
  <c r="B29" i="18"/>
  <c r="B28" i="18"/>
  <c r="C28" i="18"/>
  <c r="F28" i="18"/>
  <c r="E28" i="18"/>
  <c r="D28" i="18"/>
  <c r="C5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<sst xmlns="http://schemas.openxmlformats.org/spreadsheetml/2006/main" count="406" uniqueCount="183">
  <si>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</si>
  <si>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</si>
  <si>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</si>
  <si>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</si>
  <si>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</si>
  <si>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</si>
  <si>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</si>
  <si>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</si>
  <si>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</si>
  <si>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</si>
  <si>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</si>
  <si>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</si>
  <si>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</si>
  <si>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</si>
  <si>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</si>
  <si>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</si>
  <si>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</si>
  <si>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</si>
  <si>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</si>
  <si>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</si>
  <si>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</si>
  <si>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</si>
  <si>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</si>
  <si>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</si>
  <si>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</si>
  <si>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</si>
  <si>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</si>
  <si>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</si>
  <si>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</si>
  <si>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</si>
  <si>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</si>
  <si>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</si>
  <si>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</si>
  <si>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</si>
  <si>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</si>
  <si>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</si>
  <si>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</si>
  <si>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</si>
  <si>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</si>
  <si>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</si>
  <si>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</si>
  <si>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</si>
  <si>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</si>
  <si>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</si>
  <si>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</si>
  <si>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</si>
  <si>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</si>
  <si>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</si>
  <si>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</si>
  <si>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</si>
  <si>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</si>
  <si>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</si>
  <si>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</si>
  <si>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</si>
  <si>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</si>
  <si>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</si>
  <si>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</si>
  <si>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</si>
  <si>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</si>
  <si>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</si>
  <si>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</si>
  <si>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</si>
  <si>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</si>
  <si>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</si>
  <si>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</si>
  <si>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</si>
  <si>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</si>
  <si>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</si>
  <si>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</si>
  <si>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</si>
  <si>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</si>
  <si>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</si>
  <si>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</si>
  <si>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</si>
  <si>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</si>
  <si>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</si>
  <si>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</si>
  <si>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</si>
  <si>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</si>
  <si>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</si>
  <si>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</si>
  <si>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</si>
  <si>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</si>
  <si>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</si>
  <si>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</si>
  <si>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</si>
  <si>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</si>
  <si>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</si>
  <si>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</si>
  <si>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</si>
  <si>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</si>
  <si>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</si>
  <si>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</si>
  <si>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</si>
  <si>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</si>
  <si>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</si>
  <si>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</si>
  <si>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</si>
  <si>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</si>
  <si>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</si>
  <si>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</si>
  <si>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</si>
  <si>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</si>
  <si>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</si>
  <si>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</si>
  <si>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</si>
  <si>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</si>
  <si>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</si>
  <si>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</si>
  <si>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</si>
  <si>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</si>
  <si>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</si>
  <si>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</si>
  <si>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</si>
  <si>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</si>
  <si>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</si>
  <si>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</si>
  <si>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</si>
  <si>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</si>
  <si>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</si>
  <si>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</si>
  <si>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</si>
  <si>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</si>
  <si>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</si>
  <si>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</si>
  <si>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</si>
  <si>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</si>
  <si>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</si>
  <si>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</si>
  <si>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</si>
  <si>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</si>
  <si>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</si>
  <si>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</si>
  <si>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</si>
  <si>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</si>
  <si>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</si>
  <si>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</si>
  <si>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</si>
  <si>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</si>
  <si>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</si>
  <si>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</si>
  <si>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</si>
  <si>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</si>
  <si>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</si>
  <si>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</si>
  <si>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</si>
  <si>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</si>
  <si>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</si>
  <si>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</si>
  <si>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</si>
  <si>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</si>
  <si>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</si>
  <si>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</si>
  <si>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</si>
  <si>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</si>
  <si>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</si>
  <si>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</si>
  <si>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</si>
  <si>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</si>
  <si>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</si>
  <si>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</si>
  <si>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</si>
  <si>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</si>
  <si>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</si>
  <si>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</si>
  <si>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</si>
  <si>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</si>
  <si>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</si>
  <si>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</si>
  <si>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</si>
  <si>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</si>
  <si>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</si>
  <si>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</si>
  <si>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</si>
  <si>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</si>
  <si>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</si>
  <si>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</si>
  <si>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Select the cell , Click format and select required format</t>
  </si>
  <si>
    <t>In View Option , we have Freeze option</t>
  </si>
  <si>
    <t>I have  used inbuild functionality.</t>
  </si>
  <si>
    <t>Data-&gt;Text to columns -&gt; others(-)-&gt; Next&gt; Give($B$16)- Finish.</t>
  </si>
  <si>
    <t>Formula Used</t>
  </si>
  <si>
    <t>Used ISNA inbuild function using If condition and did 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</si>
</sst>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3" fillId="6" borderId="0" xfId="0" applyFont="1" applyFill="1"/>
    <xf numFmtId="0" fontId="3" fillId="7" borderId="0" xfId="0" applyFont="1" applyFill="1"/>
    <xf numFmtId="167" fontId="3" fillId="0" borderId="0" xfId="0" applyNumberFormat="1" applyFont="1"/>
    <xf numFmtId="0" fontId="3" fillId="0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E10" sqref="E10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5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I1" zoomScaleNormal="100" workbookViewId="0">
      <pane ySplit="1" topLeftCell="A2" activePane="bottomLeft" state="frozen"/>
      <selection activeCell="B1" sqref="B1"/>
      <selection pane="bottomLeft" activeCell="R32" sqref="R32:W32"/>
    </sheetView>
  </sheetViews>
  <sheetFormatPr defaultColWidth="9" defaultRowHeight="14.4" x14ac:dyDescent="0.3"/>
  <cols>
    <col min="1" max="1" width="25.44140625" style="1" bestFit="1" customWidth="1"/>
    <col min="2" max="2" width="7.44140625" style="1" customWidth="1"/>
    <col min="3" max="3" width="9.77734375" style="1" customWidth="1"/>
    <col min="4" max="4" width="11" style="23" customWidth="1"/>
    <col min="5" max="5" width="9.21875" style="1" customWidth="1"/>
    <col min="6" max="6" width="10.44140625" style="23" customWidth="1"/>
    <col min="7" max="9" width="12.77734375" style="1" customWidth="1"/>
    <col min="10" max="12" width="13" style="1" customWidth="1"/>
    <col min="13" max="13" width="14.21875" style="1" customWidth="1"/>
    <col min="14" max="14" width="14.21875" style="1" bestFit="1" customWidth="1"/>
    <col min="15" max="15" width="14.21875" style="1" customWidth="1"/>
    <col min="16" max="17" width="14.44140625" style="1" customWidth="1"/>
    <col min="18" max="18" width="14.44140625" style="1" bestFit="1" customWidth="1"/>
    <col min="19" max="19" width="18.77734375" style="1" customWidth="1"/>
    <col min="20" max="20" width="18.77734375" style="1" bestFit="1" customWidth="1"/>
    <col min="21" max="21" width="19" style="1" customWidth="1"/>
    <col min="22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46">
        <v>-1</v>
      </c>
      <c r="K2" s="46">
        <v>-1</v>
      </c>
      <c r="L2" s="46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46">
        <v>-1</v>
      </c>
      <c r="K3" s="46">
        <v>-1</v>
      </c>
      <c r="L3" s="46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46">
        <v>-1</v>
      </c>
      <c r="K4" s="46">
        <v>-1</v>
      </c>
      <c r="L4" s="46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46">
        <v>-1</v>
      </c>
      <c r="K5" s="46">
        <v>-1</v>
      </c>
      <c r="L5" s="46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46">
        <v>-1</v>
      </c>
      <c r="K6" s="46">
        <v>-1</v>
      </c>
      <c r="L6" s="46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46">
        <v>-1</v>
      </c>
      <c r="K7" s="46">
        <v>-1</v>
      </c>
      <c r="L7" s="46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46">
        <v>-1</v>
      </c>
      <c r="K8" s="46">
        <v>-1</v>
      </c>
      <c r="L8" s="46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46">
        <v>-1</v>
      </c>
      <c r="K9" s="46">
        <v>-1</v>
      </c>
      <c r="L9" s="46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46">
        <v>-1</v>
      </c>
      <c r="K10" s="46">
        <v>-1</v>
      </c>
      <c r="L10" s="46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46">
        <v>-1</v>
      </c>
      <c r="K11" s="46">
        <v>-1</v>
      </c>
      <c r="L11" s="46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47">
        <v>0</v>
      </c>
      <c r="H12" s="47">
        <v>0</v>
      </c>
      <c r="I12" s="47">
        <v>0</v>
      </c>
      <c r="J12" s="47">
        <v>0</v>
      </c>
      <c r="K12" s="47">
        <v>0</v>
      </c>
      <c r="L12" s="47">
        <v>0</v>
      </c>
      <c r="M12" s="47">
        <v>0</v>
      </c>
      <c r="N12" s="47">
        <v>0</v>
      </c>
      <c r="O12" s="47">
        <v>0</v>
      </c>
      <c r="P12" s="47">
        <v>0</v>
      </c>
      <c r="Q12" s="47">
        <v>0</v>
      </c>
      <c r="R12" s="47">
        <v>0</v>
      </c>
      <c r="S12" s="47">
        <v>0</v>
      </c>
      <c r="T12" s="47">
        <v>0</v>
      </c>
      <c r="U12" s="47">
        <v>0</v>
      </c>
      <c r="V12" s="47">
        <v>0</v>
      </c>
      <c r="W12" s="47">
        <v>0</v>
      </c>
      <c r="X12" s="2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46">
        <v>-1</v>
      </c>
      <c r="K13" s="46">
        <v>-1</v>
      </c>
      <c r="L13" s="46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46">
        <v>-1</v>
      </c>
      <c r="K14" s="46">
        <v>-1</v>
      </c>
      <c r="L14" s="46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46">
        <v>-1</v>
      </c>
      <c r="K15" s="46">
        <v>-1</v>
      </c>
      <c r="L15" s="46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46">
        <v>-1</v>
      </c>
      <c r="K16" s="46">
        <v>-1</v>
      </c>
      <c r="L16" s="46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46">
        <v>-1</v>
      </c>
      <c r="K17" s="46">
        <v>-1</v>
      </c>
      <c r="L17" s="46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46">
        <v>-1</v>
      </c>
      <c r="K18" s="46">
        <v>-1</v>
      </c>
      <c r="L18" s="46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46">
        <v>-1</v>
      </c>
      <c r="K19" s="46">
        <v>-1</v>
      </c>
      <c r="L19" s="46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46">
        <v>-1</v>
      </c>
      <c r="K20" s="46">
        <v>-1</v>
      </c>
      <c r="L20" s="46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57</v>
      </c>
      <c r="S20" s="1">
        <v>101.3</v>
      </c>
      <c r="T20" s="1">
        <v>115.1</v>
      </c>
      <c r="U20" s="1">
        <v>50.1</v>
      </c>
      <c r="V20" s="1">
        <v>57</v>
      </c>
      <c r="W20" s="1">
        <v>61.4</v>
      </c>
      <c r="X20" s="48"/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46">
        <v>-1</v>
      </c>
      <c r="K21" s="46">
        <v>-1</v>
      </c>
      <c r="L21" s="46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8"/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46">
        <v>-1</v>
      </c>
      <c r="K22" s="46">
        <v>-1</v>
      </c>
      <c r="L22" s="46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8"/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46">
        <v>-1</v>
      </c>
      <c r="K23" s="46">
        <v>-1</v>
      </c>
      <c r="L23" s="46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/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46">
        <v>-1</v>
      </c>
      <c r="K24" s="46">
        <v>-1</v>
      </c>
      <c r="L24" s="46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/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46">
        <v>-1</v>
      </c>
      <c r="K25" s="46">
        <v>-1</v>
      </c>
      <c r="L25" s="46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/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47">
        <v>0</v>
      </c>
      <c r="H26" s="47">
        <v>0</v>
      </c>
      <c r="I26" s="47">
        <v>0</v>
      </c>
      <c r="J26" s="47">
        <v>0</v>
      </c>
      <c r="K26" s="47">
        <v>0</v>
      </c>
      <c r="L26" s="47">
        <v>0</v>
      </c>
      <c r="M26" s="47">
        <v>0</v>
      </c>
      <c r="N26" s="47">
        <v>0</v>
      </c>
      <c r="O26" s="47">
        <v>0</v>
      </c>
      <c r="P26" s="47">
        <v>0</v>
      </c>
      <c r="Q26" s="47">
        <v>0</v>
      </c>
      <c r="R26" s="47">
        <v>0</v>
      </c>
      <c r="S26" s="47">
        <v>0</v>
      </c>
      <c r="T26" s="47">
        <v>0</v>
      </c>
      <c r="U26" s="47">
        <v>0</v>
      </c>
      <c r="V26" s="47">
        <v>0</v>
      </c>
      <c r="W26" s="47">
        <v>0</v>
      </c>
      <c r="X26" s="48"/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46">
        <v>-1</v>
      </c>
      <c r="K27" s="46">
        <v>-1</v>
      </c>
      <c r="L27" s="46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/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46">
        <v>-1</v>
      </c>
      <c r="K28" s="46">
        <v>-1</v>
      </c>
      <c r="L28" s="46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/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46">
        <v>-1</v>
      </c>
      <c r="K29" s="46">
        <v>-1</v>
      </c>
      <c r="L29" s="46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/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46">
        <v>-1</v>
      </c>
      <c r="H30" s="46">
        <v>-1</v>
      </c>
      <c r="I30" s="46">
        <v>-1</v>
      </c>
      <c r="J30" s="46">
        <v>-1</v>
      </c>
      <c r="K30" s="46">
        <v>-1</v>
      </c>
      <c r="L30" s="46">
        <v>-1</v>
      </c>
      <c r="M30" s="46">
        <v>-1</v>
      </c>
      <c r="N30" s="46">
        <v>-1</v>
      </c>
      <c r="O30" s="46">
        <v>-1</v>
      </c>
      <c r="P30" s="46">
        <v>-1</v>
      </c>
      <c r="Q30" s="46">
        <v>-1</v>
      </c>
      <c r="R30" s="46">
        <v>-1</v>
      </c>
      <c r="S30" s="46">
        <v>-1</v>
      </c>
      <c r="T30" s="46">
        <v>-1</v>
      </c>
      <c r="U30" s="46">
        <v>-1</v>
      </c>
      <c r="V30" s="46">
        <v>-1</v>
      </c>
      <c r="W30" s="46">
        <v>-1</v>
      </c>
      <c r="X30" s="48"/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46">
        <v>-1</v>
      </c>
      <c r="K31" s="46">
        <v>-1</v>
      </c>
      <c r="L31" s="46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/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46">
        <v>-1</v>
      </c>
      <c r="H32" s="46">
        <v>-1</v>
      </c>
      <c r="I32" s="46">
        <v>-1</v>
      </c>
      <c r="J32" s="46">
        <v>-1</v>
      </c>
      <c r="K32" s="46">
        <v>-1</v>
      </c>
      <c r="L32" s="46">
        <v>-1</v>
      </c>
      <c r="M32" s="46">
        <v>-1</v>
      </c>
      <c r="N32" s="46">
        <v>-1</v>
      </c>
      <c r="O32" s="46">
        <v>-1</v>
      </c>
      <c r="P32" s="46">
        <v>-1</v>
      </c>
      <c r="Q32" s="46">
        <v>-1</v>
      </c>
      <c r="R32" s="46">
        <v>-1</v>
      </c>
      <c r="S32" s="46">
        <v>-1</v>
      </c>
      <c r="T32" s="46">
        <v>-1</v>
      </c>
      <c r="U32" s="46">
        <v>-1</v>
      </c>
      <c r="V32" s="46">
        <v>-1</v>
      </c>
      <c r="W32" s="46">
        <v>-1</v>
      </c>
      <c r="X32" s="48"/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46">
        <v>-1</v>
      </c>
      <c r="K33" s="46">
        <v>-1</v>
      </c>
      <c r="L33" s="46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/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46">
        <v>-1</v>
      </c>
      <c r="K34" s="46">
        <v>-1</v>
      </c>
      <c r="L34" s="46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/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46">
        <v>-1</v>
      </c>
      <c r="K35" s="46">
        <v>-1</v>
      </c>
      <c r="L35" s="46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/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46">
        <v>-1</v>
      </c>
      <c r="K36" s="46">
        <v>-1</v>
      </c>
      <c r="L36" s="46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/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46">
        <v>-1</v>
      </c>
      <c r="K37" s="46">
        <v>-1</v>
      </c>
      <c r="L37" s="46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/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46">
        <v>-1</v>
      </c>
      <c r="K38" s="46">
        <v>-1</v>
      </c>
      <c r="L38" s="46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/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46">
        <v>-1</v>
      </c>
      <c r="K39" s="46">
        <v>-1</v>
      </c>
      <c r="L39" s="46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/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46">
        <v>-1</v>
      </c>
      <c r="K40" s="46">
        <v>-1</v>
      </c>
      <c r="L40" s="46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/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4" sqref="C4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 t="s">
        <v>178</v>
      </c>
      <c r="E4" s="1">
        <v>5</v>
      </c>
    </row>
    <row r="5" spans="1:5" x14ac:dyDescent="0.3">
      <c r="A5" s="6">
        <v>3</v>
      </c>
      <c r="B5" s="2" t="s">
        <v>104</v>
      </c>
      <c r="C5" s="34">
        <f>SUMIF(Dataset!H2:H40,"&gt;20")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 t="s">
        <v>177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F30" sqref="F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">
        <v>2.7</v>
      </c>
      <c r="C6" s="1">
        <v>7.6</v>
      </c>
      <c r="D6" s="1">
        <v>4.2</v>
      </c>
      <c r="E6" s="1">
        <v>8.9</v>
      </c>
      <c r="F6" s="1">
        <v>4.2</v>
      </c>
    </row>
    <row r="7" spans="1:7" ht="14.4" x14ac:dyDescent="0.3">
      <c r="A7" s="7" t="s">
        <v>4</v>
      </c>
      <c r="B7" s="1">
        <v>2.7</v>
      </c>
      <c r="C7" s="1">
        <v>7.6</v>
      </c>
      <c r="D7" s="1">
        <v>4.2</v>
      </c>
      <c r="E7" s="1">
        <v>8.9</v>
      </c>
      <c r="F7" s="1">
        <v>4.2</v>
      </c>
    </row>
    <row r="8" spans="1:7" ht="14.4" x14ac:dyDescent="0.3">
      <c r="A8" s="7" t="s">
        <v>7</v>
      </c>
      <c r="B8" s="1">
        <v>3.6</v>
      </c>
      <c r="C8" s="1">
        <v>11.1</v>
      </c>
      <c r="D8" s="1">
        <v>5.8</v>
      </c>
      <c r="E8" s="1">
        <v>12.2</v>
      </c>
      <c r="F8" s="1">
        <v>5.8</v>
      </c>
    </row>
    <row r="9" spans="1:7" ht="14.4" x14ac:dyDescent="0.3">
      <c r="A9" s="7" t="s">
        <v>8</v>
      </c>
      <c r="B9" s="1">
        <v>4.9000000000000004</v>
      </c>
      <c r="C9" s="1">
        <v>13.3</v>
      </c>
      <c r="D9" s="1">
        <v>8.1</v>
      </c>
      <c r="E9" s="1">
        <v>17</v>
      </c>
      <c r="F9" s="1">
        <v>8.1</v>
      </c>
    </row>
    <row r="10" spans="1:7" ht="14.4" x14ac:dyDescent="0.3">
      <c r="A10" s="7" t="s">
        <v>11</v>
      </c>
      <c r="B10" s="1">
        <v>9.4</v>
      </c>
      <c r="C10" s="1">
        <v>28.3</v>
      </c>
      <c r="D10" s="1">
        <v>16.100000000000001</v>
      </c>
      <c r="E10" s="1">
        <v>32.799999999999997</v>
      </c>
      <c r="F10" s="1">
        <v>16.100000000000001</v>
      </c>
    </row>
    <row r="11" spans="1:7" ht="14.4" x14ac:dyDescent="0.3">
      <c r="A11" s="7" t="s">
        <v>12</v>
      </c>
      <c r="B11" s="1">
        <v>11.6</v>
      </c>
      <c r="C11" s="1">
        <v>35.200000000000003</v>
      </c>
      <c r="D11" s="1">
        <v>21.3</v>
      </c>
      <c r="E11" s="1">
        <v>43</v>
      </c>
      <c r="F11" s="1">
        <v>21.3</v>
      </c>
    </row>
    <row r="12" spans="1:7" ht="14.4" x14ac:dyDescent="0.3">
      <c r="A12" s="7" t="s">
        <v>14</v>
      </c>
      <c r="B12" s="1">
        <v>16.100000000000001</v>
      </c>
      <c r="C12" s="1">
        <v>55.6</v>
      </c>
      <c r="D12" s="1">
        <v>33.799999999999997</v>
      </c>
      <c r="E12" s="1">
        <v>67.900000000000006</v>
      </c>
      <c r="F12" s="1">
        <v>33.799999999999997</v>
      </c>
    </row>
    <row r="13" spans="1:7" ht="14.4" x14ac:dyDescent="0.3">
      <c r="A13" s="7" t="s">
        <v>15</v>
      </c>
      <c r="B13" s="49">
        <v>0</v>
      </c>
      <c r="C13" s="49">
        <v>0</v>
      </c>
      <c r="D13" s="1">
        <v>0</v>
      </c>
      <c r="E13" s="1">
        <v>0</v>
      </c>
      <c r="F13" s="1">
        <v>0</v>
      </c>
    </row>
    <row r="14" spans="1:7" ht="14.4" x14ac:dyDescent="0.3">
      <c r="A14" s="7" t="s">
        <v>16</v>
      </c>
      <c r="B14" s="1">
        <v>21.9</v>
      </c>
      <c r="C14" s="1">
        <v>61.5</v>
      </c>
      <c r="D14" s="1">
        <v>40.1</v>
      </c>
      <c r="E14" s="1">
        <v>76.599999999999994</v>
      </c>
      <c r="F14" s="1">
        <v>40.1</v>
      </c>
    </row>
    <row r="15" spans="1:7" ht="14.4" x14ac:dyDescent="0.3">
      <c r="A15" s="7" t="s">
        <v>18</v>
      </c>
      <c r="B15" s="1">
        <v>26.8</v>
      </c>
      <c r="C15" s="1">
        <v>79.599999999999994</v>
      </c>
      <c r="D15" s="1">
        <v>47.9</v>
      </c>
      <c r="E15" s="1">
        <v>96.8</v>
      </c>
      <c r="F15" s="1">
        <v>47.9</v>
      </c>
    </row>
    <row r="16" spans="1:7" ht="14.4" x14ac:dyDescent="0.3">
      <c r="A16" s="7" t="s">
        <v>20</v>
      </c>
      <c r="B16" s="1">
        <v>28.5</v>
      </c>
      <c r="C16" s="1">
        <v>85.4</v>
      </c>
      <c r="D16" s="1">
        <v>52.3</v>
      </c>
      <c r="E16" s="1">
        <v>106.1</v>
      </c>
      <c r="F16" s="1">
        <v>52.3</v>
      </c>
    </row>
    <row r="17" spans="1:6" ht="14.4" x14ac:dyDescent="0.3">
      <c r="A17" s="7" t="s">
        <v>22</v>
      </c>
      <c r="B17" s="1">
        <v>28.5</v>
      </c>
      <c r="C17" s="1">
        <v>92.1</v>
      </c>
      <c r="D17" s="1">
        <v>57</v>
      </c>
      <c r="E17" s="1">
        <v>115.1</v>
      </c>
      <c r="F17" s="1">
        <v>57</v>
      </c>
    </row>
    <row r="18" spans="1:6" ht="14.4" x14ac:dyDescent="0.3">
      <c r="A18" s="7" t="s">
        <v>23</v>
      </c>
      <c r="B18" s="1">
        <v>33.799999999999997</v>
      </c>
      <c r="C18" s="1">
        <v>101.3</v>
      </c>
      <c r="D18" s="1">
        <v>57</v>
      </c>
      <c r="E18" s="1">
        <v>115.1</v>
      </c>
      <c r="F18" s="1">
        <v>57</v>
      </c>
    </row>
    <row r="19" spans="1:6" ht="14.4" x14ac:dyDescent="0.3">
      <c r="A19" s="7" t="s">
        <v>24</v>
      </c>
      <c r="B19" s="1">
        <v>34.700000000000003</v>
      </c>
      <c r="C19" s="1">
        <v>106.1</v>
      </c>
      <c r="D19" s="1">
        <v>63.6</v>
      </c>
      <c r="E19" s="1">
        <v>128.6</v>
      </c>
      <c r="F19" s="1">
        <v>63.6</v>
      </c>
    </row>
    <row r="20" spans="1:6" ht="14.4" x14ac:dyDescent="0.3">
      <c r="A20" s="7" t="s">
        <v>28</v>
      </c>
      <c r="B20" s="49">
        <v>0</v>
      </c>
      <c r="C20" s="49">
        <v>0</v>
      </c>
      <c r="D20" s="1">
        <v>0</v>
      </c>
      <c r="E20" s="1">
        <v>0</v>
      </c>
      <c r="F20" s="1">
        <v>0</v>
      </c>
    </row>
    <row r="21" spans="1:6" ht="14.4" x14ac:dyDescent="0.3">
      <c r="A21" s="7" t="s">
        <v>57</v>
      </c>
      <c r="B21" s="49">
        <v>41.3</v>
      </c>
      <c r="C21" s="49">
        <v>124.4</v>
      </c>
      <c r="D21" s="1">
        <v>75</v>
      </c>
      <c r="E21" s="1">
        <v>151.5</v>
      </c>
      <c r="F21" s="1">
        <v>75</v>
      </c>
    </row>
    <row r="22" spans="1:6" ht="14.4" x14ac:dyDescent="0.3">
      <c r="A22" s="7" t="s">
        <v>58</v>
      </c>
      <c r="B22" s="49">
        <v>-1</v>
      </c>
      <c r="C22" s="49">
        <v>-1</v>
      </c>
      <c r="D22" s="1">
        <v>-1</v>
      </c>
      <c r="E22" s="1">
        <v>-1</v>
      </c>
      <c r="F22" s="1">
        <v>-1</v>
      </c>
    </row>
    <row r="23" spans="1:6" ht="14.4" x14ac:dyDescent="0.3">
      <c r="A23" s="7" t="s">
        <v>31</v>
      </c>
      <c r="B23" s="49">
        <v>45</v>
      </c>
      <c r="C23" s="49">
        <v>133.4</v>
      </c>
      <c r="D23" s="1">
        <v>79.400000000000006</v>
      </c>
      <c r="E23" s="1">
        <v>160.9</v>
      </c>
      <c r="F23" s="1">
        <v>79.400000000000006</v>
      </c>
    </row>
    <row r="24" spans="1:6" ht="14.4" x14ac:dyDescent="0.3">
      <c r="A24" s="7" t="s">
        <v>32</v>
      </c>
      <c r="B24" s="49">
        <v>-1</v>
      </c>
      <c r="C24" s="49">
        <v>-1</v>
      </c>
      <c r="D24" s="1">
        <v>-1</v>
      </c>
      <c r="E24" s="1">
        <v>-1</v>
      </c>
      <c r="F24" s="1">
        <v>-1</v>
      </c>
    </row>
    <row r="25" spans="1:6" ht="14.4" x14ac:dyDescent="0.3">
      <c r="A25" s="7" t="s">
        <v>34</v>
      </c>
      <c r="B25" s="1">
        <v>43.3</v>
      </c>
      <c r="C25" s="1">
        <v>128.6</v>
      </c>
      <c r="D25" s="1">
        <v>79.400000000000006</v>
      </c>
      <c r="E25" s="1">
        <v>160.9</v>
      </c>
      <c r="F25" s="1">
        <v>79.400000000000006</v>
      </c>
    </row>
    <row r="26" spans="1:6" ht="14.4" x14ac:dyDescent="0.3">
      <c r="A26" s="7" t="s">
        <v>37</v>
      </c>
      <c r="B26" s="1">
        <v>49.1</v>
      </c>
      <c r="C26" s="1">
        <v>146.80000000000001</v>
      </c>
      <c r="D26" s="1">
        <v>90.9</v>
      </c>
      <c r="E26" s="1">
        <v>183.5</v>
      </c>
      <c r="F26" s="1">
        <v>90.9</v>
      </c>
    </row>
    <row r="27" spans="1:6" ht="14.4" x14ac:dyDescent="0.3">
      <c r="A27" s="7" t="s">
        <v>39</v>
      </c>
      <c r="B27" s="1">
        <v>51.8</v>
      </c>
      <c r="C27" s="1">
        <v>156.4</v>
      </c>
      <c r="D27" s="1">
        <v>93.1</v>
      </c>
      <c r="E27" s="1">
        <v>188.1</v>
      </c>
      <c r="F27" s="1">
        <v>93.1</v>
      </c>
    </row>
    <row r="28" spans="1:6" ht="14.4" x14ac:dyDescent="0.3">
      <c r="A28" s="18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8" t="s">
        <v>83</v>
      </c>
      <c r="B29" s="31">
        <f>MAX(B7:B28)</f>
        <v>51.8</v>
      </c>
      <c r="C29" s="31">
        <f>MAX(C7:C28)</f>
        <v>156.4</v>
      </c>
      <c r="D29" s="31">
        <f>MAX(D7:D28)</f>
        <v>93.1</v>
      </c>
      <c r="E29" s="31">
        <f>MAX(E7:E28)</f>
        <v>188.1</v>
      </c>
      <c r="F29" s="31">
        <f>MAX(F7:F28)</f>
        <v>93.1</v>
      </c>
    </row>
    <row r="30" spans="1:6" ht="14.4" x14ac:dyDescent="0.3">
      <c r="A30" s="18" t="s">
        <v>84</v>
      </c>
      <c r="B30" s="31">
        <f>AVERAGE(B6:B27)</f>
        <v>20.622727272727275</v>
      </c>
      <c r="C30" s="31">
        <f>AVERAGE(C8:C29)</f>
        <v>68.75</v>
      </c>
      <c r="D30" s="31">
        <f>AVERAGE(D8:D29)</f>
        <v>41.404545454545456</v>
      </c>
      <c r="E30" s="31">
        <f>AVERAGE(E8:E29)</f>
        <v>83.690909090909088</v>
      </c>
      <c r="F30" s="31">
        <f>AVERAGE(F8:F29)</f>
        <v>41.404545454545456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7" sqref="B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 t="s">
        <v>179</v>
      </c>
    </row>
    <row r="6" spans="1:10" ht="18" x14ac:dyDescent="0.35">
      <c r="A6" s="43" t="s">
        <v>153</v>
      </c>
      <c r="B6" s="40" t="s">
        <v>180</v>
      </c>
    </row>
    <row r="7" spans="1:10" ht="18" x14ac:dyDescent="0.35">
      <c r="A7" s="43"/>
      <c r="B7" s="40"/>
    </row>
    <row r="9" spans="1:10" ht="23.4" x14ac:dyDescent="0.45">
      <c r="A9" s="17" t="s">
        <v>165</v>
      </c>
      <c r="I9" s="2"/>
      <c r="J9" s="2"/>
    </row>
    <row r="10" spans="1:10" x14ac:dyDescent="0.3">
      <c r="A10" s="33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167</v>
      </c>
    </row>
    <row r="2" spans="1:3" ht="18" x14ac:dyDescent="0.35">
      <c r="B2" s="40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181</v>
      </c>
    </row>
    <row r="7" spans="1:3" ht="14.4" x14ac:dyDescent="0.3">
      <c r="A7" s="3" t="s">
        <v>153</v>
      </c>
      <c r="B7" s="1" t="s">
        <v>182</v>
      </c>
    </row>
    <row r="10" spans="1:3" ht="23.4" x14ac:dyDescent="0.45">
      <c r="A10" s="17" t="s">
        <v>162</v>
      </c>
    </row>
    <row r="11" spans="1:3" ht="14.4" x14ac:dyDescent="0.3">
      <c r="A11" s="32" t="s">
        <v>86</v>
      </c>
      <c r="B11" s="16" t="s">
        <v>87</v>
      </c>
      <c r="C11" s="16" t="s">
        <v>88</v>
      </c>
    </row>
    <row r="12" spans="1:3" ht="14.4" x14ac:dyDescent="0.3">
      <c r="A12" s="32">
        <v>44927</v>
      </c>
      <c r="B12" s="16" t="s">
        <v>59</v>
      </c>
      <c r="C12" s="16">
        <v>200</v>
      </c>
    </row>
    <row r="13" spans="1:3" ht="14.4" x14ac:dyDescent="0.3">
      <c r="A13" s="32">
        <v>44928</v>
      </c>
      <c r="B13" s="16" t="s">
        <v>60</v>
      </c>
      <c r="C13" s="16" t="e">
        <v>#N/A</v>
      </c>
    </row>
    <row r="14" spans="1:3" ht="14.4" x14ac:dyDescent="0.3">
      <c r="A14" s="32">
        <v>44929</v>
      </c>
      <c r="B14" s="16" t="s">
        <v>61</v>
      </c>
      <c r="C14" s="16">
        <v>50</v>
      </c>
    </row>
    <row r="15" spans="1:3" ht="14.4" x14ac:dyDescent="0.3">
      <c r="A15" s="32">
        <v>44930</v>
      </c>
      <c r="B15" s="16" t="s">
        <v>62</v>
      </c>
      <c r="C15" s="16" t="e">
        <v>#N/A</v>
      </c>
    </row>
    <row r="16" spans="1:3" ht="14.4" x14ac:dyDescent="0.3">
      <c r="A16" s="32">
        <v>44931</v>
      </c>
      <c r="B16" s="16" t="s">
        <v>63</v>
      </c>
      <c r="C16" s="16">
        <v>10</v>
      </c>
    </row>
    <row r="17" spans="1:3" ht="14.4" x14ac:dyDescent="0.3">
      <c r="A17" s="32">
        <v>44932</v>
      </c>
      <c r="B17" s="16" t="s">
        <v>154</v>
      </c>
      <c r="C17" s="16">
        <v>150</v>
      </c>
    </row>
    <row r="18" spans="1:3" ht="14.4" x14ac:dyDescent="0.3">
      <c r="A18" s="32">
        <v>44933</v>
      </c>
      <c r="B18" s="16" t="s">
        <v>155</v>
      </c>
      <c r="C18" s="16">
        <v>80</v>
      </c>
    </row>
    <row r="19" spans="1:3" ht="14.4" x14ac:dyDescent="0.3">
      <c r="A19" s="32">
        <v>44934</v>
      </c>
      <c r="B19" s="16" t="s">
        <v>156</v>
      </c>
      <c r="C19" s="16" t="e">
        <v>#N/A</v>
      </c>
    </row>
    <row r="20" spans="1:3" ht="14.4" x14ac:dyDescent="0.3">
      <c r="A20" s="32">
        <v>44935</v>
      </c>
      <c r="B20" s="16" t="s">
        <v>157</v>
      </c>
      <c r="C20" s="16">
        <v>30</v>
      </c>
    </row>
    <row r="21" spans="1:3" ht="14.4" x14ac:dyDescent="0.3">
      <c r="A21" s="32">
        <v>44936</v>
      </c>
      <c r="B21" s="16" t="s">
        <v>158</v>
      </c>
      <c r="C21" s="16" t="e">
        <v>#N/A</v>
      </c>
    </row>
    <row r="22" spans="1:3" ht="14.4" x14ac:dyDescent="0.3">
      <c r="B22" s="16" t="s">
        <v>159</v>
      </c>
      <c r="C22" s="24" cm="1">
        <f t="array" ref="C22">SUM(IF(ISNA(C12:C21),20,C12:C21))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4"/>
    </row>
    <row r="24" spans="1:14" ht="14.4" x14ac:dyDescent="0.3">
      <c r="A24" s="7">
        <v>10100</v>
      </c>
      <c r="B24" s="11">
        <v>10104</v>
      </c>
      <c r="C24" s="44"/>
    </row>
    <row r="25" spans="1:14" ht="14.4" x14ac:dyDescent="0.3">
      <c r="A25" s="7">
        <v>10108</v>
      </c>
      <c r="B25" s="11">
        <v>10102</v>
      </c>
      <c r="C25" s="44"/>
    </row>
    <row r="26" spans="1:14" ht="14.4" x14ac:dyDescent="0.3">
      <c r="A26" s="7">
        <v>10100</v>
      </c>
      <c r="B26" s="11">
        <v>10106</v>
      </c>
      <c r="C26" s="44"/>
    </row>
    <row r="27" spans="1:14" ht="14.4" x14ac:dyDescent="0.3">
      <c r="A27" s="7">
        <v>10108</v>
      </c>
      <c r="B27" s="11">
        <v>10110</v>
      </c>
      <c r="C27" s="44"/>
    </row>
    <row r="28" spans="1:14" ht="14.4" x14ac:dyDescent="0.3">
      <c r="A28" s="7">
        <v>10102</v>
      </c>
      <c r="B28" s="11">
        <v>10104</v>
      </c>
      <c r="C28" s="44"/>
    </row>
    <row r="29" spans="1:14" ht="14.4" x14ac:dyDescent="0.3">
      <c r="A29" s="7">
        <v>10106</v>
      </c>
      <c r="B29" s="11">
        <v>10108</v>
      </c>
      <c r="C29" s="44"/>
    </row>
    <row r="30" spans="1:14" ht="14.4" x14ac:dyDescent="0.3">
      <c r="A30" s="7">
        <v>10102</v>
      </c>
      <c r="B30" s="11">
        <v>10106</v>
      </c>
      <c r="C30" s="44"/>
    </row>
    <row r="31" spans="1:14" ht="14.4" x14ac:dyDescent="0.3">
      <c r="A31" s="7">
        <v>10110</v>
      </c>
      <c r="B31" s="11">
        <v>10114</v>
      </c>
      <c r="C31" s="44"/>
    </row>
    <row r="32" spans="1:14" ht="14.4" x14ac:dyDescent="0.3">
      <c r="A32" s="7">
        <v>10104</v>
      </c>
      <c r="B32" s="11">
        <v>10106</v>
      </c>
      <c r="C32" s="44"/>
    </row>
    <row r="33" spans="1:3" ht="14.4" x14ac:dyDescent="0.3">
      <c r="A33" s="7">
        <v>10110</v>
      </c>
      <c r="B33" s="11">
        <v>10112</v>
      </c>
      <c r="C33" s="44"/>
    </row>
    <row r="34" spans="1:3" ht="14.4" x14ac:dyDescent="0.3">
      <c r="A34" s="7">
        <v>10100</v>
      </c>
      <c r="B34" s="11">
        <v>10114</v>
      </c>
      <c r="C34" s="44"/>
    </row>
    <row r="35" spans="1:3" ht="14.4" x14ac:dyDescent="0.3">
      <c r="A35" s="8">
        <v>10112</v>
      </c>
      <c r="B35" s="12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Akula Roopa</cp:lastModifiedBy>
  <dcterms:created xsi:type="dcterms:W3CDTF">2015-02-10T17:33:11Z</dcterms:created>
  <dcterms:modified xsi:type="dcterms:W3CDTF">2023-12-11T06:05:12Z</dcterms:modified>
</cp:coreProperties>
</file>